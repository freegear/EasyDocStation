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1.Project\81.과제\4.AVM\(AVM)3차년도\260417_쎄르띠실리콘_\"/>
    </mc:Choice>
  </mc:AlternateContent>
  <xr:revisionPtr revIDLastSave="0" documentId="13_ncr:1_{8A36644A-96FC-444D-90D7-22D7EE5CE2CD}" xr6:coauthVersionLast="47" xr6:coauthVersionMax="47" xr10:uidLastSave="{00000000-0000-0000-0000-000000000000}"/>
  <bookViews>
    <workbookView xWindow="4140" yWindow="3975" windowWidth="21600" windowHeight="11295" xr2:uid="{00000000-000D-0000-FFFF-FFFF00000000}"/>
  </bookViews>
  <sheets>
    <sheet name="260417" sheetId="6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" i="6" l="1"/>
  <c r="D11" i="6"/>
  <c r="D2" i="6" l="1"/>
  <c r="I9" i="6" l="1"/>
  <c r="J9" i="6" s="1"/>
  <c r="B8" i="6"/>
  <c r="J10" i="6" l="1"/>
  <c r="B10" i="6" l="1"/>
  <c r="F2" i="6" s="1"/>
  <c r="G2" i="6" s="1"/>
  <c r="H2" i="6" s="1"/>
  <c r="F3" i="6" l="1"/>
  <c r="G3" i="6" l="1"/>
  <c r="H3" i="6" s="1"/>
</calcChain>
</file>

<file path=xl/sharedStrings.xml><?xml version="1.0" encoding="utf-8"?>
<sst xmlns="http://schemas.openxmlformats.org/spreadsheetml/2006/main" count="35" uniqueCount="33">
  <si>
    <t>품명</t>
    <phoneticPr fontId="1" type="noConversion"/>
  </si>
  <si>
    <t>수량</t>
    <phoneticPr fontId="1" type="noConversion"/>
  </si>
  <si>
    <t>거래명세서</t>
    <phoneticPr fontId="1" type="noConversion"/>
  </si>
  <si>
    <t>세금계산서</t>
    <phoneticPr fontId="1" type="noConversion"/>
  </si>
  <si>
    <t>단가</t>
    <phoneticPr fontId="1" type="noConversion"/>
  </si>
  <si>
    <t>서류명</t>
    <phoneticPr fontId="1" type="noConversion"/>
  </si>
  <si>
    <t>발행일</t>
    <phoneticPr fontId="1" type="noConversion"/>
  </si>
  <si>
    <t>공급가액</t>
    <phoneticPr fontId="1" type="noConversion"/>
  </si>
  <si>
    <t>-</t>
    <phoneticPr fontId="1" type="noConversion"/>
  </si>
  <si>
    <t>견적서</t>
    <phoneticPr fontId="1" type="noConversion"/>
  </si>
  <si>
    <t>세액(VAT)</t>
    <phoneticPr fontId="1" type="noConversion"/>
  </si>
  <si>
    <t>합계 금액</t>
    <phoneticPr fontId="1" type="noConversion"/>
  </si>
  <si>
    <t>규격</t>
    <phoneticPr fontId="1" type="noConversion"/>
  </si>
  <si>
    <t>계산서 발행일</t>
    <phoneticPr fontId="1" type="noConversion"/>
  </si>
  <si>
    <r>
      <t>계산서 발행 방향
(매출처</t>
    </r>
    <r>
      <rPr>
        <b/>
        <sz val="10"/>
        <color theme="1"/>
        <rFont val="맑은 고딕"/>
        <family val="3"/>
        <charset val="129"/>
      </rPr>
      <t>→매입처)</t>
    </r>
    <phoneticPr fontId="1" type="noConversion"/>
  </si>
  <si>
    <t>견적서 규격과 동일</t>
    <phoneticPr fontId="1" type="noConversion"/>
  </si>
  <si>
    <t>견적서 품명과 동일</t>
    <phoneticPr fontId="1" type="noConversion"/>
  </si>
  <si>
    <t>계산서 발행 품목</t>
    <phoneticPr fontId="1" type="noConversion"/>
  </si>
  <si>
    <t>(a)</t>
    <phoneticPr fontId="1" type="noConversion"/>
  </si>
  <si>
    <t xml:space="preserve">입금액 합계 : </t>
    <phoneticPr fontId="1" type="noConversion"/>
  </si>
  <si>
    <t>1)</t>
    <phoneticPr fontId="1" type="noConversion"/>
  </si>
  <si>
    <t>소계</t>
    <phoneticPr fontId="1" type="noConversion"/>
  </si>
  <si>
    <t>합계
(VAT별도)</t>
    <phoneticPr fontId="1" type="noConversion"/>
  </si>
  <si>
    <t>품목 1종 1건</t>
    <phoneticPr fontId="1" type="noConversion"/>
  </si>
  <si>
    <t>검수완료</t>
    <phoneticPr fontId="1" type="noConversion"/>
  </si>
  <si>
    <t>납품완료</t>
    <phoneticPr fontId="1" type="noConversion"/>
  </si>
  <si>
    <t>(검수완료일 기준)</t>
  </si>
  <si>
    <t>계약체결</t>
    <phoneticPr fontId="1" type="noConversion"/>
  </si>
  <si>
    <t>AVM용 카메라 상황 인식 솔루션 고도화 개발
- 다채널 영상 기반 AVM 고도화
- 객체 인식 및 위험 판단 AI 고도화
- 실시간 처리 및 시각화·검증 기능 고도화</t>
    <phoneticPr fontId="1" type="noConversion"/>
  </si>
  <si>
    <t>AVM용 카메라 상황 인식 솔루션 고도화 개발</t>
    <phoneticPr fontId="1" type="noConversion"/>
  </si>
  <si>
    <r>
      <rPr>
        <b/>
        <sz val="10"/>
        <color theme="1"/>
        <rFont val="맑은 고딕"/>
        <family val="3"/>
        <charset val="129"/>
        <scheme val="minor"/>
      </rPr>
      <t xml:space="preserve">견적일 :
2026-01-14
</t>
    </r>
    <r>
      <rPr>
        <b/>
        <sz val="10"/>
        <color rgb="FFFF0000"/>
        <rFont val="맑은 고딕"/>
        <family val="3"/>
        <charset val="129"/>
        <scheme val="minor"/>
      </rPr>
      <t xml:space="preserve">
견적 수신 :
박수은 수석</t>
    </r>
    <phoneticPr fontId="1" type="noConversion"/>
  </si>
  <si>
    <t>쎄르띠실리콘 → 실리콘큐브</t>
    <phoneticPr fontId="1" type="noConversion"/>
  </si>
  <si>
    <t>1) 쎄르띠실리콘의 "매출" 서류 :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</si>
</sst>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&quot;₩&quot;* #,##0_-;\-&quot;₩&quot;* #,##0_-;_-&quot;₩&quot;* &quot;-&quot;_-;_-@_-"/>
    <numFmt numFmtId="41" formatCode="_-* #,##0_-;\-* #,##0_-;_-* &quot;-&quot;_-;_-@_-"/>
    <numFmt numFmtId="176" formatCode="&quot;₩&quot;#,##0_);[Red]\(&quot;₩&quot;#,##0\)"/>
    <numFmt numFmtId="177" formatCode="0_);[Red]\(0\)"/>
  </numFmts>
  <fonts count="13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rgb="FF0000FF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</font>
    <font>
      <sz val="10"/>
      <color rgb="FFFF0000"/>
      <name val="맑은 고딕"/>
      <family val="3"/>
      <charset val="129"/>
      <scheme val="minor"/>
    </font>
    <font>
      <sz val="10"/>
      <color rgb="FF0000FF"/>
      <name val="맑은 고딕"/>
      <family val="3"/>
      <charset val="129"/>
      <scheme val="minor"/>
    </font>
    <font>
      <sz val="11"/>
      <name val="돋움"/>
      <family val="3"/>
      <charset val="129"/>
    </font>
    <font>
      <sz val="1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ajor"/>
    </font>
    <font>
      <sz val="11"/>
      <color theme="1"/>
      <name val="맑은 고딕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9" fillId="0" borderId="0"/>
    <xf numFmtId="41" fontId="9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</cellStyleXfs>
  <cellXfs count="46">
    <xf numFmtId="0" fontId="0" fillId="0" borderId="0" xfId="0"/>
    <xf numFmtId="0" fontId="2" fillId="0" borderId="0" xfId="0" applyFont="1" applyAlignment="1">
      <alignment vertical="center"/>
    </xf>
    <xf numFmtId="41" fontId="2" fillId="0" borderId="0" xfId="0" applyNumberFormat="1" applyFont="1" applyAlignment="1">
      <alignment vertical="center"/>
    </xf>
    <xf numFmtId="0" fontId="3" fillId="2" borderId="0" xfId="0" applyFont="1" applyFill="1" applyAlignment="1">
      <alignment horizontal="center" vertical="center"/>
    </xf>
    <xf numFmtId="41" fontId="3" fillId="2" borderId="0" xfId="0" applyNumberFormat="1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1" fontId="2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9" fontId="5" fillId="0" borderId="0" xfId="0" applyNumberFormat="1" applyFont="1" applyAlignment="1">
      <alignment horizontal="left" vertical="center"/>
    </xf>
    <xf numFmtId="41" fontId="3" fillId="0" borderId="0" xfId="0" applyNumberFormat="1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41" fontId="3" fillId="2" borderId="1" xfId="0" applyNumberFormat="1" applyFont="1" applyFill="1" applyBorder="1" applyAlignment="1">
      <alignment horizontal="center" vertical="center"/>
    </xf>
    <xf numFmtId="176" fontId="4" fillId="4" borderId="4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41" fontId="2" fillId="5" borderId="1" xfId="0" applyNumberFormat="1" applyFont="1" applyFill="1" applyBorder="1" applyAlignment="1">
      <alignment vertical="center"/>
    </xf>
    <xf numFmtId="0" fontId="2" fillId="5" borderId="1" xfId="0" applyFont="1" applyFill="1" applyBorder="1" applyAlignment="1">
      <alignment vertical="center"/>
    </xf>
    <xf numFmtId="41" fontId="7" fillId="5" borderId="1" xfId="0" applyNumberFormat="1" applyFont="1" applyFill="1" applyBorder="1" applyAlignment="1">
      <alignment vertical="center"/>
    </xf>
    <xf numFmtId="176" fontId="8" fillId="0" borderId="0" xfId="0" applyNumberFormat="1" applyFont="1" applyAlignment="1">
      <alignment vertical="center"/>
    </xf>
    <xf numFmtId="0" fontId="3" fillId="2" borderId="0" xfId="0" applyFont="1" applyFill="1" applyAlignment="1">
      <alignment horizontal="center" vertical="center" wrapText="1"/>
    </xf>
    <xf numFmtId="177" fontId="10" fillId="0" borderId="2" xfId="2" applyNumberFormat="1" applyFont="1" applyBorder="1" applyAlignment="1">
      <alignment vertical="center"/>
    </xf>
    <xf numFmtId="176" fontId="2" fillId="3" borderId="0" xfId="0" applyNumberFormat="1" applyFont="1" applyFill="1" applyAlignment="1">
      <alignment vertical="center"/>
    </xf>
    <xf numFmtId="0" fontId="2" fillId="0" borderId="2" xfId="0" applyFont="1" applyBorder="1" applyAlignment="1">
      <alignment horizontal="center" vertical="center"/>
    </xf>
    <xf numFmtId="41" fontId="2" fillId="0" borderId="2" xfId="0" applyNumberFormat="1" applyFont="1" applyBorder="1" applyAlignment="1">
      <alignment horizontal="center" vertical="center"/>
    </xf>
    <xf numFmtId="42" fontId="2" fillId="0" borderId="6" xfId="0" applyNumberFormat="1" applyFont="1" applyBorder="1" applyAlignment="1">
      <alignment vertical="center"/>
    </xf>
    <xf numFmtId="41" fontId="2" fillId="0" borderId="2" xfId="0" applyNumberFormat="1" applyFont="1" applyBorder="1" applyAlignment="1">
      <alignment vertical="center"/>
    </xf>
    <xf numFmtId="0" fontId="3" fillId="0" borderId="0" xfId="0" applyFont="1" applyAlignment="1">
      <alignment vertical="center"/>
    </xf>
    <xf numFmtId="176" fontId="2" fillId="0" borderId="0" xfId="0" applyNumberFormat="1" applyFont="1" applyAlignment="1">
      <alignment vertical="center"/>
    </xf>
    <xf numFmtId="41" fontId="3" fillId="0" borderId="0" xfId="0" applyNumberFormat="1" applyFont="1" applyAlignment="1">
      <alignment horizontal="right" vertical="center"/>
    </xf>
    <xf numFmtId="0" fontId="2" fillId="5" borderId="0" xfId="0" applyFont="1" applyFill="1" applyAlignment="1">
      <alignment horizontal="center" vertical="center"/>
    </xf>
    <xf numFmtId="176" fontId="2" fillId="5" borderId="0" xfId="0" applyNumberFormat="1" applyFont="1" applyFill="1" applyAlignment="1">
      <alignment vertical="center"/>
    </xf>
    <xf numFmtId="41" fontId="3" fillId="3" borderId="0" xfId="0" applyNumberFormat="1" applyFont="1" applyFill="1" applyAlignment="1">
      <alignment horizontal="right" vertical="center"/>
    </xf>
    <xf numFmtId="41" fontId="2" fillId="0" borderId="0" xfId="0" applyNumberFormat="1" applyFont="1" applyAlignment="1">
      <alignment horizontal="center" vertical="center"/>
    </xf>
    <xf numFmtId="41" fontId="2" fillId="5" borderId="1" xfId="0" applyNumberFormat="1" applyFont="1" applyFill="1" applyBorder="1" applyAlignment="1">
      <alignment horizontal="center" vertical="center" wrapText="1"/>
    </xf>
    <xf numFmtId="41" fontId="2" fillId="0" borderId="0" xfId="3" applyFont="1" applyAlignment="1">
      <alignment vertical="center"/>
    </xf>
    <xf numFmtId="14" fontId="2" fillId="0" borderId="1" xfId="0" applyNumberFormat="1" applyFont="1" applyBorder="1" applyAlignment="1">
      <alignment horizontal="center" vertical="center" wrapText="1"/>
    </xf>
    <xf numFmtId="14" fontId="2" fillId="5" borderId="1" xfId="0" applyNumberFormat="1" applyFont="1" applyFill="1" applyBorder="1" applyAlignment="1">
      <alignment horizontal="center" vertical="center" wrapText="1"/>
    </xf>
    <xf numFmtId="14" fontId="2" fillId="5" borderId="0" xfId="0" applyNumberFormat="1" applyFont="1" applyFill="1" applyAlignment="1">
      <alignment horizontal="center" vertical="center" wrapText="1"/>
    </xf>
    <xf numFmtId="14" fontId="5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41" fontId="8" fillId="0" borderId="0" xfId="0" applyNumberFormat="1" applyFont="1" applyAlignment="1">
      <alignment vertical="center"/>
    </xf>
    <xf numFmtId="14" fontId="7" fillId="0" borderId="0" xfId="0" applyNumberFormat="1" applyFont="1" applyAlignment="1">
      <alignment horizontal="center" vertical="center" wrapText="1"/>
    </xf>
    <xf numFmtId="0" fontId="11" fillId="0" borderId="2" xfId="0" quotePrefix="1" applyFont="1" applyBorder="1" applyAlignment="1">
      <alignment horizontal="center" vertical="center" wrapText="1"/>
    </xf>
    <xf numFmtId="0" fontId="10" fillId="0" borderId="5" xfId="1" applyFont="1" applyBorder="1" applyAlignment="1">
      <alignment horizontal="left" vertical="center" wrapText="1" shrinkToFit="1"/>
    </xf>
  </cellXfs>
  <cellStyles count="4">
    <cellStyle name="쉼표 [0]" xfId="3" builtinId="6"/>
    <cellStyle name="쉼표 [0] 2" xfId="2" xr:uid="{8067B47D-004B-4DB2-A467-1F82EDE7E107}"/>
    <cellStyle name="표준" xfId="0" builtinId="0"/>
    <cellStyle name="표준 2" xfId="1" xr:uid="{ED15FB08-BF53-4A63-ACA3-94BC9B648B4A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F7ADF-DD50-4C40-A682-2AD506C963FF}">
  <dimension ref="A1:Q15"/>
  <sheetViews>
    <sheetView tabSelected="1" topLeftCell="A7" zoomScaleNormal="100" zoomScaleSheetLayoutView="100" workbookViewId="0">
      <selection activeCell="H5" sqref="H5"/>
    </sheetView>
  </sheetViews>
  <sheetFormatPr defaultColWidth="9" defaultRowHeight="13.5"/>
  <cols>
    <col min="1" max="1" width="1.625" style="1" customWidth="1"/>
    <col min="2" max="2" width="25.375" style="8" bestFit="1" customWidth="1"/>
    <col min="3" max="3" width="9.625" style="1" bestFit="1" customWidth="1"/>
    <col min="4" max="4" width="13.375" style="1" customWidth="1"/>
    <col min="5" max="5" width="37.25" style="1" bestFit="1" customWidth="1"/>
    <col min="6" max="6" width="18" style="1" bestFit="1" customWidth="1"/>
    <col min="7" max="7" width="13.5" style="2" bestFit="1" customWidth="1"/>
    <col min="8" max="8" width="12.5" style="1" bestFit="1" customWidth="1"/>
    <col min="9" max="10" width="10.5" style="2" bestFit="1" customWidth="1"/>
    <col min="11" max="11" width="14.875" style="2" customWidth="1"/>
    <col min="12" max="12" width="13.875" style="1" bestFit="1" customWidth="1"/>
    <col min="13" max="14" width="13.875" style="1" customWidth="1"/>
    <col min="15" max="15" width="12.875" style="1" bestFit="1" customWidth="1"/>
    <col min="16" max="16" width="15.25" style="1" bestFit="1" customWidth="1"/>
    <col min="17" max="17" width="12.875" style="1" customWidth="1"/>
    <col min="18" max="18" width="12.875" style="1" bestFit="1" customWidth="1"/>
    <col min="19" max="19" width="15.25" style="1" bestFit="1" customWidth="1"/>
    <col min="20" max="16384" width="9" style="1"/>
  </cols>
  <sheetData>
    <row r="1" spans="1:17" ht="27">
      <c r="B1" s="20" t="s">
        <v>14</v>
      </c>
      <c r="C1" s="20"/>
      <c r="D1" s="3" t="s">
        <v>13</v>
      </c>
      <c r="E1" s="3" t="s">
        <v>17</v>
      </c>
      <c r="F1" s="3" t="s">
        <v>7</v>
      </c>
      <c r="G1" s="4" t="s">
        <v>10</v>
      </c>
      <c r="H1" s="3" t="s">
        <v>11</v>
      </c>
      <c r="L1" s="2"/>
      <c r="M1" s="2"/>
      <c r="N1" s="2"/>
      <c r="O1" s="2"/>
      <c r="P1" s="2"/>
      <c r="Q1" s="2"/>
    </row>
    <row r="2" spans="1:17">
      <c r="A2" s="1" t="s">
        <v>20</v>
      </c>
      <c r="B2" s="30" t="s">
        <v>31</v>
      </c>
      <c r="C2" s="30"/>
      <c r="D2" s="38">
        <f>D10</f>
        <v>46129</v>
      </c>
      <c r="E2" s="30" t="str">
        <f>E10</f>
        <v>AVM용 카메라 상황 인식 솔루션 고도화 개발</v>
      </c>
      <c r="F2" s="31">
        <f>$B$10</f>
        <v>15000000</v>
      </c>
      <c r="G2" s="31">
        <f t="shared" ref="G2:G3" si="0">F2*0.1</f>
        <v>1500000</v>
      </c>
      <c r="H2" s="31">
        <f t="shared" ref="H2:H3" si="1">SUM(F2:G2)</f>
        <v>16500000</v>
      </c>
      <c r="J2" s="1"/>
      <c r="K2" s="1"/>
      <c r="O2" s="2"/>
      <c r="P2" s="2"/>
      <c r="Q2" s="2"/>
    </row>
    <row r="3" spans="1:17">
      <c r="C3" s="8"/>
      <c r="D3" s="8"/>
      <c r="E3" s="32" t="s">
        <v>19</v>
      </c>
      <c r="F3" s="22">
        <f>SUM(F2:F2)</f>
        <v>15000000</v>
      </c>
      <c r="G3" s="22">
        <f t="shared" si="0"/>
        <v>1500000</v>
      </c>
      <c r="H3" s="22">
        <f t="shared" si="1"/>
        <v>16500000</v>
      </c>
      <c r="I3" s="27" t="s">
        <v>18</v>
      </c>
      <c r="J3" s="1"/>
      <c r="K3" s="1"/>
      <c r="L3" s="2"/>
      <c r="M3" s="2"/>
      <c r="N3" s="2"/>
    </row>
    <row r="4" spans="1:17">
      <c r="C4" s="8"/>
      <c r="D4" s="8"/>
      <c r="E4" s="29"/>
      <c r="F4" s="28"/>
      <c r="H4" s="2"/>
      <c r="I4" s="1"/>
      <c r="J4" s="1"/>
      <c r="K4" s="1"/>
      <c r="L4" s="2"/>
      <c r="M4" s="2"/>
      <c r="N4" s="2"/>
    </row>
    <row r="5" spans="1:17">
      <c r="B5" s="11"/>
      <c r="C5" s="10"/>
      <c r="E5" s="8"/>
      <c r="F5" s="19"/>
    </row>
    <row r="6" spans="1:17">
      <c r="B6" s="11"/>
      <c r="C6" s="10"/>
      <c r="E6" s="8"/>
      <c r="F6" s="19"/>
    </row>
    <row r="7" spans="1:17">
      <c r="B7" s="27" t="s">
        <v>32</v>
      </c>
    </row>
    <row r="8" spans="1:17">
      <c r="B8" s="12" t="str">
        <f>B2</f>
        <v>쎄르띠실리콘 → 실리콘큐브</v>
      </c>
      <c r="C8" s="12" t="s">
        <v>5</v>
      </c>
      <c r="D8" s="12" t="s">
        <v>6</v>
      </c>
      <c r="E8" s="12" t="s">
        <v>0</v>
      </c>
      <c r="F8" s="12" t="s">
        <v>12</v>
      </c>
      <c r="G8" s="13" t="s">
        <v>4</v>
      </c>
      <c r="H8" s="12" t="s">
        <v>1</v>
      </c>
      <c r="I8" s="13" t="s">
        <v>7</v>
      </c>
      <c r="J8" s="13" t="s">
        <v>21</v>
      </c>
      <c r="K8" s="1"/>
    </row>
    <row r="9" spans="1:17" ht="67.5">
      <c r="B9" s="23" t="s">
        <v>23</v>
      </c>
      <c r="C9" s="40" t="s">
        <v>9</v>
      </c>
      <c r="D9" s="39" t="s">
        <v>30</v>
      </c>
      <c r="E9" s="45" t="s">
        <v>28</v>
      </c>
      <c r="F9" s="44" t="s">
        <v>8</v>
      </c>
      <c r="G9" s="25">
        <v>15000000</v>
      </c>
      <c r="H9" s="21">
        <v>1</v>
      </c>
      <c r="I9" s="26">
        <f t="shared" ref="I9" si="2">G9*H9</f>
        <v>15000000</v>
      </c>
      <c r="J9" s="24">
        <f t="shared" ref="J9" si="3">SUM(I9:I9)</f>
        <v>15000000</v>
      </c>
      <c r="K9" s="33"/>
    </row>
    <row r="10" spans="1:17" ht="30" customHeight="1">
      <c r="B10" s="14">
        <f>J10</f>
        <v>15000000</v>
      </c>
      <c r="C10" s="15" t="s">
        <v>3</v>
      </c>
      <c r="D10" s="37">
        <v>46129</v>
      </c>
      <c r="E10" s="15" t="s">
        <v>29</v>
      </c>
      <c r="F10" s="15" t="s">
        <v>8</v>
      </c>
      <c r="G10" s="16"/>
      <c r="H10" s="17"/>
      <c r="I10" s="34" t="s">
        <v>22</v>
      </c>
      <c r="J10" s="18">
        <f>SUM(J9:J9)</f>
        <v>15000000</v>
      </c>
      <c r="K10" s="42" t="s">
        <v>26</v>
      </c>
      <c r="L10" s="35"/>
    </row>
    <row r="11" spans="1:17" ht="30" customHeight="1">
      <c r="B11" s="9"/>
      <c r="C11" s="5" t="s">
        <v>2</v>
      </c>
      <c r="D11" s="36">
        <f>D10</f>
        <v>46129</v>
      </c>
      <c r="E11" s="5" t="s">
        <v>16</v>
      </c>
      <c r="F11" s="5" t="s">
        <v>15</v>
      </c>
      <c r="G11" s="6"/>
      <c r="H11" s="7"/>
      <c r="I11" s="6"/>
      <c r="J11" s="6"/>
    </row>
    <row r="13" spans="1:17">
      <c r="C13" s="41" t="s">
        <v>27</v>
      </c>
      <c r="D13" s="43">
        <v>46038</v>
      </c>
    </row>
    <row r="14" spans="1:17">
      <c r="C14" s="41" t="s">
        <v>25</v>
      </c>
      <c r="D14" s="43">
        <v>46125</v>
      </c>
    </row>
    <row r="15" spans="1:17">
      <c r="C15" s="41" t="s">
        <v>24</v>
      </c>
      <c r="D15" s="43">
        <v>46129</v>
      </c>
    </row>
  </sheetData>
  <phoneticPr fontId="1" type="noConversion"/>
  <pageMargins left="0.23622047244094491" right="0.23622047244094491" top="0.39370078740157483" bottom="0.39370078740157483" header="0.19685039370078741" footer="0.19685039370078741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260417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SEDDY</dc:creator>
  <cp:lastModifiedBy>수은 박</cp:lastModifiedBy>
  <cp:lastPrinted>2025-06-09T03:02:00Z</cp:lastPrinted>
  <dcterms:created xsi:type="dcterms:W3CDTF">2015-06-05T18:19:34Z</dcterms:created>
  <dcterms:modified xsi:type="dcterms:W3CDTF">2026-04-17T07:35:54Z</dcterms:modified>
</cp:coreProperties>
</file>